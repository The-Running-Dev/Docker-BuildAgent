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49624eaf0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78a765c33746e5"/>
    <x:sheet xmlns:r="http://schemas.openxmlformats.org/officeDocument/2006/relationships" name="Data &amp; Targets" sheetId="2" r:id="Rac11f67b42a34639"/>
    <x:sheet xmlns:r="http://schemas.openxmlformats.org/officeDocument/2006/relationships" name="_Chart Helpers" sheetId="3" r:id="Re7974d7284e54be2"/>
  </x:sheets>
</x:workbook>
</file>

<file path=xl/sharedStrings.xml><?xml version="1.0" encoding="utf-8"?>
<x:sst xmlns:x="http://schemas.openxmlformats.org/spreadsheetml/2006/main">
  <x:si>
    <x:t xml:space="preserve">SELECTED REPORTING PERIOD</x:t>
  </x:si>
  <x:si>
    <x:t xml:space="preserve">DATA CURRENT THROUGH</x:t>
  </x:si>
</x:sst>
</file>

<file path=xl/styles.xml><?xml version="1.0" encoding="utf-8"?>
<x:styleSheet xmlns:x="http://schemas.openxmlformats.org/spreadsheetml/2006/main">
  <x:numFmts count="17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mmm yyyy"/>
    <x:numFmt numFmtId="201" formatCode="dd mmm yyyy"/>
    <x:numFmt numFmtId="202" formatCode="#,##0"/>
    <x:numFmt numFmtId="203" formatCode="0.0"/>
    <x:numFmt numFmtId="204" formatCode="0%"/>
    <x:numFmt numFmtId="205" formatCode="0.0%"/>
    <x:numFmt numFmtId="206" formatCode="+0;-0;0"/>
    <x:numFmt numFmtId="207" formatCode="mmm yy"/>
    <x:numFmt numFmtId="208" formatCode="+0.0;-0.0;0.0"/>
  </x:numFmts>
  <x:fonts count="2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263544"/>
      </x:patternFill>
    </x:fill>
  </x:fills>
  <x:borders count="16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8" fillId="5" borderId="2" xfId="0" applyNumberFormat="1" applyFont="1" applyFill="1" applyBorder="1" applyAlignment="1">
      <x:alignment horizontal="left" vertical="center"/>
    </x:xf>
    <x:xf numFmtId="201" fontId="17" fillId="6" borderId="1" xfId="0" applyNumberFormat="1" applyFont="1" applyFill="1" applyBorder="1" applyAlignment="1">
      <x:alignment horizontal="left" vertical="center"/>
    </x:xf>
    <x:xf numFmtId="200" fontId="18" fillId="5" borderId="2" xfId="0" applyNumberFormat="1" applyFont="1" applyFill="1" applyBorder="1" applyAlignment="1">
      <x:alignment horizontal="right" vertical="center"/>
    </x:xf>
    <x:xf numFmtId="202" fontId="18" fillId="5" borderId="2" xfId="0" applyNumberFormat="1" applyFont="1" applyFill="1" applyBorder="1" applyAlignment="1">
      <x:alignment horizontal="right" vertical="center"/>
    </x:xf>
    <x:xf numFmtId="203" fontId="18" fillId="5" borderId="2" xfId="0" applyNumberFormat="1" applyFont="1" applyFill="1" applyBorder="1" applyAlignment="1">
      <x:alignment horizontal="right" vertical="center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 applyAlignment="1">
      <x:alignment vertical="center"/>
    </x:xf>
    <x:xf numFmtId="0" fontId="8" fillId="13" borderId="14" xfId="0" applyNumberFormat="1" applyFont="1" applyFill="1" applyBorder="1" applyAlignment="1">
      <x:alignment vertical="center"/>
    </x:xf>
    <x:xf numFmtId="0" fontId="8" fillId="13" borderId="15" xfId="0" applyNumberFormat="1" applyFont="1" applyFill="1" applyBorder="1" applyAlignment="1">
      <x:alignment vertical="center"/>
    </x:xf>
    <x:xf numFmtId="0" fontId="8" fillId="13" borderId="14" xfId="0" applyNumberFormat="1" applyFont="1" applyFill="1" applyBorder="1" applyAlignment="1">
      <x:alignment horizontal="center" vertical="center"/>
    </x:xf>
    <x:xf numFmtId="0" fontId="8" fillId="13" borderId="15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2" fontId="17" fillId="4" borderId="1" xfId="0" applyNumberFormat="1" applyFont="1" applyFill="1" applyBorder="1" applyAlignment="1">
      <x:alignment horizontal="left" vertical="center"/>
    </x:xf>
    <x:xf numFmtId="205" fontId="0" fillId="0" borderId="0" xfId="0" applyNumberFormat="1" applyFont="1" applyFill="1" applyBorder="1" applyAlignment="1">
      <x:alignment vertical="center"/>
    </x:xf>
    <x:xf numFmtId="202" fontId="4" fillId="6" borderId="1" xfId="0" applyNumberFormat="1" applyFont="1" applyFill="1" applyBorder="1" applyAlignment="1">
      <x:alignment horizontal="left" vertical="center"/>
    </x:xf>
    <x:xf numFmtId="204" fontId="4" fillId="6" borderId="1" xfId="0" applyNumberFormat="1" applyFont="1" applyFill="1" applyBorder="1" applyAlignment="1">
      <x:alignment horizontal="left" vertical="center"/>
    </x:xf>
    <x:xf numFmtId="206" fontId="4" fillId="6" borderId="1" xfId="0" applyNumberFormat="1" applyFont="1" applyFill="1" applyBorder="1" applyAlignment="1">
      <x:alignment horizontal="left" vertical="center"/>
    </x:xf>
    <x:xf numFmtId="207" fontId="4" fillId="6" borderId="1" xfId="0" applyNumberFormat="1" applyFont="1" applyFill="1" applyBorder="1" applyAlignment="1">
      <x:alignment horizontal="left" vertical="center"/>
    </x:xf>
    <x:xf numFmtId="200" fontId="8" fillId="9" borderId="3" xfId="0" applyNumberFormat="1" applyFont="1" applyFill="1" applyBorder="1" applyAlignment="1">
      <x:alignment horizontal="left" vertical="center"/>
    </x:xf>
    <x:xf numFmtId="201" fontId="8" fillId="9" borderId="3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6" fontId="12" fillId="10" borderId="11" xfId="0" applyNumberFormat="1" applyFont="1" applyFill="1" applyBorder="1" applyAlignment="1">
      <x:alignment horizontal="right" vertical="center"/>
    </x:xf>
    <x:xf numFmtId="208" fontId="5" fillId="10" borderId="12" xfId="0" applyNumberFormat="1" applyFont="1" applyFill="1" applyBorder="1" applyAlignment="1">
      <x:alignment horizontal="right" vertical="center"/>
    </x:xf>
    <x:xf numFmtId="204" fontId="5" fillId="10" borderId="12" xfId="0" applyNumberFormat="1" applyFont="1" applyFill="1" applyBorder="1" applyAlignment="1">
      <x:alignment horizontal="right" vertical="center"/>
    </x:xf>
    <x:xf numFmtId="205" fontId="5" fillId="10" borderId="12" xfId="0" applyNumberFormat="1" applyFont="1" applyFill="1" applyBorder="1" applyAlignment="1">
      <x:alignment horizontal="right" vertical="center"/>
    </x:xf>
    <x:xf numFmtId="202" fontId="12" fillId="10" borderId="11" xfId="0" applyNumberFormat="1" applyFont="1" applyFill="1" applyBorder="1" applyAlignment="1">
      <x:alignment horizontal="right" vertical="center"/>
    </x:xf>
    <x:xf numFmtId="202" fontId="5" fillId="10" borderId="12" xfId="0" applyNumberFormat="1" applyFont="1" applyFill="1" applyBorder="1" applyAlignment="1">
      <x:alignment horizontal="right" vertical="center"/>
    </x:xf>
    <x:xf numFmtId="202" fontId="6" fillId="10" borderId="1" xfId="0" applyNumberFormat="1" applyFont="1" applyFill="1" applyBorder="1" applyAlignment="1">
      <x:alignment horizontal="center" vertical="center"/>
    </x:xf>
    <x:xf numFmtId="202" fontId="6" fillId="10" borderId="1" xfId="0" applyNumberFormat="1" applyFont="1" applyFill="1" applyBorder="1" applyAlignment="1">
      <x:alignment horizontal="right" vertical="center"/>
    </x:xf>
    <x:xf numFmtId="204" fontId="6" fillId="10" borderId="1" xfId="0" applyNumberFormat="1" applyFont="1" applyFill="1" applyBorder="1" applyAlignment="1">
      <x:alignment horizontal="right" vertical="center"/>
    </x:xf>
    <x:xf numFmtId="206" fontId="6" fillId="1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550ec231b4a15" /><Relationship Type="http://schemas.openxmlformats.org/officeDocument/2006/relationships/theme" Target="/xl/theme/theme1.xml" Id="R50198234584c43dd" /><Relationship Type="http://schemas.openxmlformats.org/officeDocument/2006/relationships/sharedStrings" Target="/xl/sharedStrings.xml" Id="R59e176c140574c6b" /><Relationship Type="http://schemas.openxmlformats.org/officeDocument/2006/relationships/worksheet" Target="/xl/worksheets/sheet1.xml" Id="R2078a765c33746e5" /><Relationship Type="http://schemas.openxmlformats.org/officeDocument/2006/relationships/worksheet" Target="/xl/worksheets/sheet2.xml" Id="Rac11f67b42a34639" /><Relationship Type="http://schemas.openxmlformats.org/officeDocument/2006/relationships/worksheet" Target="/xl/worksheets/sheet3.xml" Id="Re7974d7284e54b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acc5a27d4c4f54" /><Relationship Type="http://schemas.openxmlformats.org/officeDocument/2006/relationships/chart" Target="/xl/drawings/charts/chart2.xml" Id="Rd3087cd9672b4858" /><Relationship Type="http://schemas.openxmlformats.org/officeDocument/2006/relationships/chart" Target="/xl/drawings/charts/chart3.xml" Id="R325eb2a934ff41c0" /><Relationship Type="http://schemas.openxmlformats.org/officeDocument/2006/relationships/chart" Target="/xl/drawings/charts/chart4.xml" Id="R988878d194ff4a28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Monthly commits vs 12M average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Commits</c:v>
          </c:tx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Helpers'!$I$2:$I$13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12M average</c:v>
          </c:tx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Helpers'!$J$2:$J$13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date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mmm yy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auto val="1"/>
        <c:lblOffset val="100"/>
      </c:date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  <c:majorUnit val="1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Files touched vs 12M average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Files touched</c:v>
          </c:tx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Helpers'!$M$2:$M$13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12M average</c:v>
          </c:tx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Helpers'!$N$2:$N$13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date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mmm yy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auto val="1"/>
        <c:lblOffset val="100"/>
      </c:date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CI test-project coverage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Projects</c:v>
          </c:tx>
          <c:cat>
            <c:strRef>
              <c:f>'_Chart Helpers'!$P$2:$P$3</c:f>
              <c:strCache>
                <c:ptCount val="0"/>
              </c:strCache>
            </c:strRef>
          </c:cat>
          <c:val>
            <c:numRef>
              <c:f>'_Chart Helpers'!$Q$2:$Q$3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  <c:majorUnit val="1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Tracked files by repository 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Files</c:v>
          </c:tx>
          <c:cat>
            <c:strRef>
              <c:f>'_Chart Helpers'!$S$2:$S$6</c:f>
              <c:strCache>
                <c:ptCount val="0"/>
              </c:strCache>
            </c:strRef>
          </c:cat>
          <c:val>
            <c:numRef>
              <c:f>'_Chart Helpers'!$T$2:$T$6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acc5a27d4c4f54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087cd9672b4858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5eb2a934ff41c0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8878d194ff4a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413b19d7d84f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Docker-BuildAgent Engineering Analytics</x:v>
      </x:c>
      <x:c r="C2" s="39"/>
      <x:c r="D2" s="39"/>
      <x:c r="E2" s="39"/>
      <x:c r="F2" s="39"/>
      <x:c r="G2" s="39"/>
      <x:c r="H2" s="39"/>
      <x:c r="I2" s="39"/>
      <x:c r="J2" s="40" t="str">
        <x:v>SELECTED REPORTING PERIOD</x:v>
      </x:c>
      <x:c r="K2" s="41" t="s">
        <x:v>0</x:v>
      </x:c>
      <x:c r="L2" s="41" t="s">
        <x:v>0</x:v>
      </x:c>
      <x:c r="M2" s="42" t="s">
        <x:v>0</x:v>
      </x:c>
      <x:c r="N2" s="40" t="str">
        <x:v>DATA CURRENT THROUGH</x:v>
      </x:c>
      <x:c r="O2" s="41" t="s">
        <x:v>1</x:v>
      </x:c>
      <x:c r="P2" s="41" t="s">
        <x:v>1</x:v>
      </x:c>
      <x:c r="Q2" s="42" t="s">
        <x:v>1</x:v>
      </x:c>
    </x:row>
    <x:row r="3" ht="24" customHeight="1">
      <x:c r="B3" s="38" t="str">
        <x:v>Repository activity, delivery coverage, and project composition</x:v>
      </x:c>
      <x:c r="C3" s="38"/>
      <x:c r="D3" s="38"/>
      <x:c r="E3" s="38"/>
      <x:c r="F3" s="38"/>
      <x:c r="G3" s="38"/>
      <x:c r="H3" s="38"/>
      <x:c r="I3" s="38"/>
      <x:c r="J3" s="109" t="n">
        <x:f>'Data &amp; Targets'!C9</x:f>
        <x:v>46235</x:v>
      </x:c>
      <x:c r="K3" s="44"/>
      <x:c r="L3" s="44"/>
      <x:c r="M3" s="45"/>
      <x:c r="N3" s="110" t="n">
        <x:f>'Data &amp; Targets'!C10</x:f>
        <x:v>46255</x:v>
      </x:c>
      <x:c r="O3" s="44"/>
      <x:c r="P3" s="44"/>
      <x:c r="Q3" s="45"/>
    </x:row>
    <x:row r="4" ht="20" customHeight="1">
      <x:c r="B4" s="46" t="str">
        <x:v>Source: local Git history and repository inventory at 4d6120d124aa; descriptive counts only.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Commits</x:v>
      </x:c>
      <x:c r="C5" s="48"/>
      <x:c r="D5" s="48"/>
      <x:c r="E5" s="49"/>
      <x:c r="F5" s="47" t="str">
        <x:v>Files Touched</x:v>
      </x:c>
      <x:c r="G5" s="48"/>
      <x:c r="H5" s="48"/>
      <x:c r="I5" s="49"/>
      <x:c r="J5" s="47" t="str">
        <x:v>Contributors</x:v>
      </x:c>
      <x:c r="K5" s="48"/>
      <x:c r="L5" s="48"/>
      <x:c r="M5" s="49"/>
      <x:c r="N5" s="47" t="str">
        <x:v>Merge-linked Commits</x:v>
      </x:c>
      <x:c r="O5" s="48"/>
      <x:c r="P5" s="48"/>
      <x:c r="Q5" s="49"/>
    </x:row>
    <x:row r="6" ht="27" customHeight="1">
      <x:c r="B6" s="111" t="n">
        <x:f>INDEX('Data &amp; Targets'!$C$16:$C$27,MATCH($J$3,'Data &amp; Targets'!$B$16:$B$27,0))</x:f>
        <x:v>1</x:v>
      </x:c>
      <x:c r="C6" s="51"/>
      <x:c r="D6" s="51"/>
      <x:c r="E6" s="52"/>
      <x:c r="F6" s="111" t="n">
        <x:f>INDEX('Data &amp; Targets'!$D$16:$D$27,MATCH($J$3,'Data &amp; Targets'!$B$16:$B$27,0))</x:f>
        <x:v>63</x:v>
      </x:c>
      <x:c r="G6" s="51"/>
      <x:c r="H6" s="51"/>
      <x:c r="I6" s="52"/>
      <x:c r="J6" s="111" t="n">
        <x:f>INDEX('Data &amp; Targets'!$G$16:$G$27,MATCH($J$3,'Data &amp; Targets'!$B$16:$B$27,0))</x:f>
        <x:v>1</x:v>
      </x:c>
      <x:c r="K6" s="54"/>
      <x:c r="L6" s="54"/>
      <x:c r="M6" s="55"/>
      <x:c r="N6" s="111" t="n">
        <x:f>INDEX('Data &amp; Targets'!$H$16:$H$27,MATCH($J$3,'Data &amp; Targets'!$B$16:$B$27,0))</x:f>
        <x:v>0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12" t="n">
        <x:f>B6-IF(MATCH($J$3,'Data &amp; Targets'!$B$16:$B$27,0)=1,0,INDEX('Data &amp; Targets'!$C$16:$C$27,MATCH($J$3,'Data &amp; Targets'!$B$16:$B$27,0)-1))</x:f>
        <x:v>-1</x:v>
      </x:c>
      <x:c r="C8" s="14" t="str">
        <x:v>vs prior</x:v>
      </x:c>
      <x:c r="D8" s="113" t="n">
        <x:f>B6-AVERAGE('Data &amp; Targets'!$C$16:$C$27)</x:f>
        <x:v>0.75</x:v>
      </x:c>
      <x:c r="E8" s="16" t="str">
        <x:v>vs 12M avg</x:v>
      </x:c>
      <x:c r="F8" s="112" t="n">
        <x:f>F6-IF(MATCH($J$3,'Data &amp; Targets'!$B$16:$B$27,0)=1,0,INDEX('Data &amp; Targets'!$D$16:$D$27,MATCH($J$3,'Data &amp; Targets'!$B$16:$B$27,0)-1))</x:f>
        <x:v>-56</x:v>
      </x:c>
      <x:c r="G8" s="14" t="str">
        <x:v>vs prior</x:v>
      </x:c>
      <x:c r="H8" s="113" t="n">
        <x:f>F6-AVERAGE('Data &amp; Targets'!$D$16:$D$27)</x:f>
        <x:v>47.833333333333336</x:v>
      </x:c>
      <x:c r="I8" s="16" t="str">
        <x:v>vs 12M avg</x:v>
      </x:c>
      <x:c r="J8" s="112" t="n">
        <x:f>J6-IF(MATCH($J$3,'Data &amp; Targets'!$B$16:$B$27,0)=1,0,INDEX('Data &amp; Targets'!$G$16:$G$27,MATCH($J$3,'Data &amp; Targets'!$B$16:$B$27,0)-1))</x:f>
        <x:v>0</x:v>
      </x:c>
      <x:c r="K8" s="14" t="str">
        <x:v>vs prior</x:v>
      </x:c>
      <x:c r="L8" s="113" t="n">
        <x:f>J6-AVERAGE('Data &amp; Targets'!$G$16:$G$27)</x:f>
        <x:v>0.8333333333333334</x:v>
      </x:c>
      <x:c r="M8" s="16" t="str">
        <x:v>vs 12M avg</x:v>
      </x:c>
      <x:c r="N8" s="112" t="n">
        <x:f>N6-IF(MATCH($J$3,'Data &amp; Targets'!$B$16:$B$27,0)=1,0,INDEX('Data &amp; Targets'!$H$16:$H$27,MATCH($J$3,'Data &amp; Targets'!$B$16:$B$27,0)-1))</x:f>
        <x:v>-2</x:v>
      </x:c>
      <x:c r="O8" s="14" t="str">
        <x:v>vs prior</x:v>
      </x:c>
      <x:c r="P8" s="113" t="n">
        <x:f>N6-AVERAGE('Data &amp; Targets'!$H$16:$H$27)</x:f>
        <x:v>-0.16666666666666666</x:v>
      </x:c>
      <x:c r="Q8" s="16" t="str">
        <x:v>vs 12M avg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Public Build Routes</x:v>
      </x:c>
      <x:c r="C10" s="48"/>
      <x:c r="D10" s="48"/>
      <x:c r="E10" s="49"/>
      <x:c r="F10" s="47" t="str">
        <x:v>Test Projects</x:v>
      </x:c>
      <x:c r="G10" s="48"/>
      <x:c r="H10" s="48"/>
      <x:c r="I10" s="49"/>
      <x:c r="J10" s="47" t="str">
        <x:v>GitHub Workflows</x:v>
      </x:c>
      <x:c r="K10" s="48"/>
      <x:c r="L10" s="48"/>
      <x:c r="M10" s="49"/>
      <x:c r="N10" s="47" t="str">
        <x:v>Tracked Files</x:v>
      </x:c>
      <x:c r="O10" s="48"/>
      <x:c r="P10" s="48"/>
      <x:c r="Q10" s="49"/>
    </x:row>
    <x:row r="11" ht="27" customHeight="1">
      <x:c r="B11" s="111" t="n">
        <x:v>5</x:v>
      </x:c>
      <x:c r="C11" s="79"/>
      <x:c r="D11" s="79"/>
      <x:c r="E11" s="80"/>
      <x:c r="F11" s="111" t="n">
        <x:v>5</x:v>
      </x:c>
      <x:c r="G11" s="82"/>
      <x:c r="H11" s="82"/>
      <x:c r="I11" s="83"/>
      <x:c r="J11" s="111" t="n">
        <x:v>5</x:v>
      </x:c>
      <x:c r="K11" s="54"/>
      <x:c r="L11" s="54"/>
      <x:c r="M11" s="55"/>
      <x:c r="N11" s="111" t="n">
        <x:v>241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16" t="n">
        <x:v>5</x:v>
      </x:c>
      <x:c r="C13" s="14" t="str">
        <x:v>mapped</x:v>
      </x:c>
      <x:c r="D13" s="114" t="n">
        <x:v>1</x:v>
      </x:c>
      <x:c r="E13" s="16" t="str">
        <x:v>coverage</x:v>
      </x:c>
      <x:c r="F13" s="116" t="n">
        <x:v>1</x:v>
      </x:c>
      <x:c r="G13" s="14" t="str">
        <x:v>in CI</x:v>
      </x:c>
      <x:c r="H13" s="114" t="n">
        <x:f>IFERROR(F13/F11,0)</x:f>
        <x:v>0.2</x:v>
      </x:c>
      <x:c r="I13" s="16" t="str">
        <x:v>coverage</x:v>
      </x:c>
      <x:c r="J13" s="116" t="n">
        <x:v>2</x:v>
      </x:c>
      <x:c r="K13" s="14" t="str">
        <x:v>release</x:v>
      </x:c>
      <x:c r="L13" s="117" t="n">
        <x:v>1</x:v>
      </x:c>
      <x:c r="M13" s="16" t="str">
        <x:v>docs deploy</x:v>
      </x:c>
      <x:c r="N13" s="116" t="n">
        <x:v>103</x:v>
      </x:c>
      <x:c r="O13" s="14" t="str">
        <x:v>Forge</x:v>
      </x:c>
      <x:c r="P13" s="115" t="n">
        <x:f>IFERROR(N13/N11,0)</x:f>
        <x:v>0.42738589211618255</x:v>
      </x:c>
      <x:c r="Q13" s="16" t="str">
        <x:v>Forge share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MONTHLY COMMITS VS 12M AVERAGE</x:v>
      </x:c>
      <x:c r="C15" s="56"/>
      <x:c r="D15" s="56"/>
      <x:c r="E15" s="56"/>
      <x:c r="F15" s="56"/>
      <x:c r="G15" s="56"/>
      <x:c r="H15" s="56"/>
      <x:c r="I15" s="56"/>
      <x:c r="J15" s="56" t="str">
        <x:v>FILES TOUCHED VS 12M AVERAGE</x:v>
      </x:c>
      <x:c r="K15" s="56"/>
      <x:c r="L15" s="56"/>
      <x:c r="M15" s="56"/>
      <x:c r="N15" s="56"/>
      <x:c r="O15" s="56"/>
      <x:c r="P15" s="56"/>
      <x:c r="Q15" s="56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CI TEST-PROJECT COVERAGE</x:v>
      </x:c>
      <x:c r="C29" s="56"/>
      <x:c r="D29" s="56"/>
      <x:c r="E29" s="56"/>
      <x:c r="F29" s="56"/>
      <x:c r="G29" s="56"/>
      <x:c r="H29" s="56"/>
      <x:c r="I29" s="56"/>
      <x:c r="J29" s="56" t="str">
        <x:v>TRACKED FILES BY REPOSITORY AREA</x:v>
      </x:c>
      <x:c r="K29" s="56"/>
      <x:c r="L29" s="56"/>
      <x:c r="M29" s="56"/>
      <x:c r="N29" s="56"/>
      <x:c r="O29" s="56"/>
      <x:c r="P29" s="56"/>
      <x:c r="Q29" s="56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ENGINEERING COVERAGE SNAPSHOT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Metric</x:v>
      </x:c>
      <x:c r="C44" s="17" t="str">
        <x:v>Actual</x:v>
      </x:c>
      <x:c r="D44" s="17" t="str">
        <x:v>Scope</x:v>
      </x:c>
      <x:c r="E44" s="17" t="str">
        <x:v>Coverage</x:v>
      </x:c>
      <x:c r="F44" s="17" t="str">
        <x:v>Gap</x:v>
      </x:c>
      <x:c r="G44" s="17" t="str">
        <x:v>Status</x:v>
      </x:c>
      <x:c r="H44" s="17" t="str">
        <x:v>Evidence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Helpers'!A2</x:f>
        <x:v>Public build routes mapped</x:v>
      </x:c>
      <x:c r="C45" s="118" t="n">
        <x:f>'_Chart Helpers'!B2</x:f>
        <x:v>5</x:v>
      </x:c>
      <x:c r="D45" s="119" t="n">
        <x:f>'_Chart Helpers'!C2</x:f>
        <x:v>5</x:v>
      </x:c>
      <x:c r="E45" s="120" t="n">
        <x:f>'_Chart Helpers'!D2</x:f>
        <x:v>1</x:v>
      </x:c>
      <x:c r="F45" s="121" t="n">
        <x:f t="shared" ref="F45:F52" si="0">'_Chart Helpers'!E2</x:f>
        <x:v>0</x:v>
      </x:c>
      <x:c r="G45" s="21" t="str">
        <x:f t="shared" ref="G45:G52" si="1">'_Chart Helpers'!F2</x:f>
        <x:v>Complete</x:v>
      </x:c>
      <x:c r="H45" s="19" t="str">
        <x:v>build.ps1 ValidateSet</x:v>
      </x:c>
      <x:c r="I45" s="12"/>
      <x:c r="J45" s="57" t="str">
        <x:v>Coverage compares observed repository objects with declared scope. “Partial” is a factual gap marker, not a quality score.</x:v>
      </x:c>
      <x:c r="K45" s="58"/>
      <x:c r="L45" s="58"/>
      <x:c r="M45" s="58"/>
      <x:c r="N45" s="58"/>
      <x:c r="O45" s="58"/>
      <x:c r="P45" s="58"/>
      <x:c r="Q45" s="59"/>
    </x:row>
    <x:row r="46">
      <x:c r="B46" s="18" t="str">
        <x:f>'_Chart Helpers'!A3</x:f>
        <x:v>Product projects in solution</x:v>
      </x:c>
      <x:c r="C46" s="118" t="n">
        <x:f>'_Chart Helpers'!B3</x:f>
        <x:v>5</x:v>
      </x:c>
      <x:c r="D46" s="119" t="n">
        <x:f>'_Chart Helpers'!C3</x:f>
        <x:v>5</x:v>
      </x:c>
      <x:c r="E46" s="120" t="n">
        <x:f>'_Chart Helpers'!D3</x:f>
        <x:v>1</x:v>
      </x:c>
      <x:c r="F46" s="121" t="n">
        <x:f t="shared" si="0">'_Chart Helpers'!E3</x:f>
        <x:v>0</x:v>
      </x:c>
      <x:c r="G46" s="21" t="str">
        <x:f t="shared" si="1">'_Chart Helpers'!F3</x:f>
        <x:v>Complete</x:v>
      </x:c>
      <x:c r="H46" s="19" t="str">
        <x:v>forge/Forge.sln</x:v>
      </x:c>
      <x:c r="I46" s="12"/>
      <x:c r="J46" s="60"/>
      <x:c r="K46" s="61"/>
      <x:c r="L46" s="61"/>
      <x:c r="M46" s="61"/>
      <x:c r="N46" s="61"/>
      <x:c r="O46" s="61"/>
      <x:c r="P46" s="61"/>
      <x:c r="Q46" s="62"/>
    </x:row>
    <x:row r="47">
      <x:c r="B47" s="18" t="str">
        <x:f>'_Chart Helpers'!A4</x:f>
        <x:v>Test projects in solution</x:v>
      </x:c>
      <x:c r="C47" s="118" t="n">
        <x:f>'_Chart Helpers'!B4</x:f>
        <x:v>5</x:v>
      </x:c>
      <x:c r="D47" s="119" t="n">
        <x:f>'_Chart Helpers'!C4</x:f>
        <x:v>5</x:v>
      </x:c>
      <x:c r="E47" s="120" t="n">
        <x:f>'_Chart Helpers'!D4</x:f>
        <x:v>1</x:v>
      </x:c>
      <x:c r="F47" s="121" t="n">
        <x:f t="shared" si="0">'_Chart Helpers'!E4</x:f>
        <x:v>0</x:v>
      </x:c>
      <x:c r="G47" s="21" t="str">
        <x:f t="shared" si="1">'_Chart Helpers'!F4</x:f>
        <x:v>Complete</x:v>
      </x:c>
      <x:c r="H47" s="19" t="str">
        <x:v>forge/Forge.sln</x:v>
      </x:c>
      <x:c r="I47" s="12"/>
      <x:c r="J47" s="60"/>
      <x:c r="K47" s="61"/>
      <x:c r="L47" s="61"/>
      <x:c r="M47" s="61"/>
      <x:c r="N47" s="61"/>
      <x:c r="O47" s="61"/>
      <x:c r="P47" s="61"/>
      <x:c r="Q47" s="62"/>
    </x:row>
    <x:row r="48">
      <x:c r="B48" s="18" t="str">
        <x:f>'_Chart Helpers'!A5</x:f>
        <x:v>Test projects run in CI</x:v>
      </x:c>
      <x:c r="C48" s="118" t="n">
        <x:f>'_Chart Helpers'!B5</x:f>
        <x:v>1</x:v>
      </x:c>
      <x:c r="D48" s="119" t="n">
        <x:f>'_Chart Helpers'!C5</x:f>
        <x:v>5</x:v>
      </x:c>
      <x:c r="E48" s="120" t="n">
        <x:f>'_Chart Helpers'!D5</x:f>
        <x:v>0.2</x:v>
      </x:c>
      <x:c r="F48" s="121" t="n">
        <x:f t="shared" si="0">'_Chart Helpers'!E5</x:f>
        <x:v>-4</x:v>
      </x:c>
      <x:c r="G48" s="21" t="str">
        <x:f t="shared" si="1">'_Chart Helpers'!F5</x:f>
        <x:v>Partial</x:v>
      </x:c>
      <x:c r="H48" s="19" t="str">
        <x:v>CI: tests/action.yml</x:v>
      </x:c>
      <x:c r="I48" s="12"/>
      <x:c r="J48" s="63"/>
      <x:c r="K48" s="64"/>
      <x:c r="L48" s="64"/>
      <x:c r="M48" s="64"/>
      <x:c r="N48" s="64"/>
      <x:c r="O48" s="64"/>
      <x:c r="P48" s="64"/>
      <x:c r="Q48" s="65"/>
    </x:row>
    <x:row r="49">
      <x:c r="B49" s="18" t="str">
        <x:f>'_Chart Helpers'!A6</x:f>
        <x:v>Official release modes</x:v>
      </x:c>
      <x:c r="C49" s="118" t="n">
        <x:f>'_Chart Helpers'!B6</x:f>
        <x:v>2</x:v>
      </x:c>
      <x:c r="D49" s="119" t="n">
        <x:f>'_Chart Helpers'!C6</x:f>
        <x:v>2</x:v>
      </x:c>
      <x:c r="E49" s="120" t="n">
        <x:f>'_Chart Helpers'!D6</x:f>
        <x:v>1</x:v>
      </x:c>
      <x:c r="F49" s="121" t="n">
        <x:f t="shared" si="0">'_Chart Helpers'!E6</x:f>
        <x:v>0</x:v>
      </x:c>
      <x:c r="G49" s="21" t="str">
        <x:f t="shared" si="1">'_Chart Helpers'!F6</x:f>
        <x:v>Complete</x:v>
      </x:c>
      <x:c r="H49" s="19" t="str">
        <x:v>workflow: release*.yml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/>
      <x:c r="C50" s="19"/>
      <x:c r="D50" s="23"/>
      <x:c r="E50" s="23"/>
      <x:c r="F50" s="23">
        <x:f t="shared" si="0"/>
      </x:c>
      <x:c r="G50" s="21">
        <x:f t="shared" si="1"/>
      </x:c>
      <x:c r="H50" s="19"/>
      <x:c r="I50" s="12"/>
      <x:c r="J50" s="66" t="str">
        <x:v>Evidence is local and reproducible: Git history, tracked files, solution projects, build routes, CI action inputs, and workflow inventory.</x:v>
      </x:c>
      <x:c r="K50" s="67"/>
      <x:c r="L50" s="67"/>
      <x:c r="M50" s="67"/>
      <x:c r="N50" s="67"/>
      <x:c r="O50" s="67"/>
      <x:c r="P50" s="67"/>
      <x:c r="Q50" s="68"/>
    </x:row>
    <x:row r="51">
      <x:c r="B51" s="18"/>
      <x:c r="C51" s="19"/>
      <x:c r="D51" s="21"/>
      <x:c r="E51" s="21"/>
      <x:c r="F51" s="21">
        <x:f t="shared" si="0"/>
      </x:c>
      <x:c r="G51" s="21">
        <x:f t="shared" si="1"/>
      </x:c>
      <x:c r="H51" s="19"/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/>
      <x:c r="C52" s="19"/>
      <x:c r="D52" s="24"/>
      <x:c r="E52" s="24"/>
      <x:c r="F52" s="24">
        <x:f t="shared" si="0"/>
      </x:c>
      <x:c r="G52" s="21">
        <x:f t="shared" si="1"/>
      </x:c>
      <x:c r="H52" s="19"/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conditionalFormatting sqref="G45:G49">
    <x:cfRule type="expression" dxfId="3" priority="4">
      <x:formula>G45="Complete"</x:formula>
    </x:cfRule>
    <x:cfRule type="expression" dxfId="4" priority="5">
      <x:formula>G45="Partial"</x:formula>
    </x:cfRule>
    <x:cfRule type="expression" dxfId="5" priority="6">
      <x:formula>G45="Absent"</x:formula>
    </x:cfRule>
  </x:conditionalFormatting>
  <x:pageMargins left="0.7" right="0.7" top="0.75" bottom="0.75" header="0.3" footer="0.3"/>
  <x:drawing xmlns:r="http://schemas.openxmlformats.org/officeDocument/2006/relationships" r:id="R39413b19d7d84f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  <x:col min="2" max="2" width="24" hidden="0" customWidth="1"/>
  </x:cols>
  <x:sheetData>
    <x:row r="2" ht="26" customHeight="1">
      <x:c r="B2" s="36" t="str">
        <x:v>Docker-BuildAgent Engineering Data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Source-derived repository activity, delivery coverage, and tracked-file composition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HOW TO USE</x:v>
      </x:c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</x:row>
    <x:row r="6" ht="22" customHeight="1">
      <x:c r="B6" s="88" t="str">
        <x:v>Choose a reporting month in C9. Dashboard KPIs and comparisons recalculate automatically; yellow cells are the retained template's input layer.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22" customHeight="1">
      <x:c r="B7" s="88" t="str">
        <x:v>Refresh basis: local Git history and repository inventory at HEAD. No GitHub API, registry, deployment, traffic, revenue, or user data is inferred.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Selected Reporting Period</x:v>
      </x:c>
      <x:c r="C9" s="89" t="n">
        <x:v>46235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Data Current Through</x:v>
      </x:c>
      <x:c r="C10" s="90" t="n">
        <x:v>46255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Source / Assumptions</x:v>
      </x:c>
      <x:c r="C11" s="84" t="str">
        <x:v>Local Git history and tracked repository state at 4d6120d124aa; counts are descriptive, not quality scores.</x:v>
      </x:c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MONTHLY REPOSITORY ACTIVITY — SOURCE-DERIVED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2" t="str">
        <x:v>Period</x:v>
      </x:c>
      <x:c r="C15" s="2" t="str">
        <x:v>Commits</x:v>
      </x:c>
      <x:c r="D15" s="2" t="str">
        <x:v>Files Touched</x:v>
      </x:c>
      <x:c r="E15" s="2" t="str">
        <x:v>Lines Added</x:v>
      </x:c>
      <x:c r="F15" s="2" t="str">
        <x:v>Lines Deleted</x:v>
      </x:c>
      <x:c r="G15" s="2" t="str">
        <x:v>Contributors</x:v>
      </x:c>
      <x:c r="H15" s="2" t="str">
        <x:v>Merge-linked Commits</x:v>
      </x:c>
      <x:c r="I15" s="2" t="str">
        <x:v>12M Avg Commits</x:v>
      </x:c>
      <x:c r="J15" s="2" t="str">
        <x:v>12M Avg Files</x:v>
      </x:c>
      <x:c r="K15" s="2" t="str">
        <x:v>Commit Variance</x:v>
      </x:c>
      <x:c r="L15" s="2" t="str">
        <x:v>File Variance</x:v>
      </x:c>
      <x:c r="M15" s="2" t="str">
        <x:v>Activity Status</x:v>
      </x:c>
      <x:c r="N15" s="2" t="str">
        <x:v>Data Source</x:v>
      </x:c>
      <x:c r="O15" s="2" t="str">
        <x:v>Notes</x:v>
      </x:c>
      <x:c r="P15" s="2" t="str">
        <x:v>Snapshot</x:v>
      </x:c>
    </x:row>
    <x:row r="16">
      <x:c r="B16" s="91" t="n">
        <x:v>45901</x:v>
      </x:c>
      <x:c r="C16" s="92" t="n">
        <x:v>0</x:v>
      </x:c>
      <x:c r="D16" s="92" t="n">
        <x:v>0</x:v>
      </x:c>
      <x:c r="E16" s="92" t="n">
        <x:v>0</x:v>
      </x:c>
      <x:c r="F16" s="92" t="n">
        <x:v>0</x:v>
      </x:c>
      <x:c r="G16" s="92" t="n">
        <x:v>0</x:v>
      </x:c>
      <x:c r="H16" s="92" t="n">
        <x:v>0</x:v>
      </x:c>
      <x:c r="I16" s="93" t="n">
        <x:f>AVERAGE($C$16:$C$27)</x:f>
        <x:v>0.25</x:v>
      </x:c>
      <x:c r="J16" s="93" t="n">
        <x:f>AVERAGE($D$16:$D$27)</x:f>
        <x:v>15.166666666666666</x:v>
      </x:c>
      <x:c r="K16" s="93" t="n">
        <x:f>C16-I16</x:f>
        <x:v>-0.25</x:v>
      </x:c>
      <x:c r="L16" s="93" t="n">
        <x:f>D16-J16</x:f>
        <x:v>-15.166666666666666</x:v>
      </x:c>
      <x:c r="M16" s="32" t="str">
        <x:f>IF(C16=0,"No activity",IF(C16&gt;=I16,"At/above avg","Below avg"))</x:f>
        <x:v>No activity</x:v>
      </x:c>
      <x:c r="N16" s="33" t="str">
        <x:v>git log --numstat</x:v>
      </x:c>
      <x:c r="O16" s="34" t="str">
        <x:v>No commits in period</x:v>
      </x:c>
      <x:c r="P16" s="32" t="str"/>
    </x:row>
    <x:row r="17">
      <x:c r="B17" s="91" t="n">
        <x:v>45931</x:v>
      </x:c>
      <x:c r="C17" s="92" t="n">
        <x:v>0</x:v>
      </x:c>
      <x:c r="D17" s="92" t="n">
        <x:v>0</x:v>
      </x:c>
      <x:c r="E17" s="92" t="n">
        <x:v>0</x:v>
      </x:c>
      <x:c r="F17" s="92" t="n">
        <x:v>0</x:v>
      </x:c>
      <x:c r="G17" s="92" t="n">
        <x:v>0</x:v>
      </x:c>
      <x:c r="H17" s="92" t="n">
        <x:v>0</x:v>
      </x:c>
      <x:c r="I17" s="93" t="n">
        <x:f>AVERAGE($C$16:$C$27)</x:f>
        <x:v>0.25</x:v>
      </x:c>
      <x:c r="J17" s="93" t="n">
        <x:f>AVERAGE($D$16:$D$27)</x:f>
        <x:v>15.166666666666666</x:v>
      </x:c>
      <x:c r="K17" s="93" t="n">
        <x:f>C17-I17</x:f>
        <x:v>-0.25</x:v>
      </x:c>
      <x:c r="L17" s="93" t="n">
        <x:f>D17-J17</x:f>
        <x:v>-15.166666666666666</x:v>
      </x:c>
      <x:c r="M17" s="32" t="str">
        <x:f>IF(C17=0,"No activity",IF(C17&gt;=I17,"At/above avg","Below avg"))</x:f>
        <x:v>No activity</x:v>
      </x:c>
      <x:c r="N17" s="33" t="str">
        <x:v>git log --numstat</x:v>
      </x:c>
      <x:c r="O17" s="34" t="str">
        <x:v>No commits in period</x:v>
      </x:c>
      <x:c r="P17" s="32" t="str"/>
    </x:row>
    <x:row r="18">
      <x:c r="B18" s="91" t="n">
        <x:v>45962</x:v>
      </x:c>
      <x:c r="C18" s="92" t="n">
        <x:v>0</x:v>
      </x:c>
      <x:c r="D18" s="92" t="n">
        <x:v>0</x:v>
      </x:c>
      <x:c r="E18" s="92" t="n">
        <x:v>0</x:v>
      </x:c>
      <x:c r="F18" s="92" t="n">
        <x:v>0</x:v>
      </x:c>
      <x:c r="G18" s="92" t="n">
        <x:v>0</x:v>
      </x:c>
      <x:c r="H18" s="92" t="n">
        <x:v>0</x:v>
      </x:c>
      <x:c r="I18" s="93" t="n">
        <x:f>AVERAGE($C$16:$C$27)</x:f>
        <x:v>0.25</x:v>
      </x:c>
      <x:c r="J18" s="93" t="n">
        <x:f>AVERAGE($D$16:$D$27)</x:f>
        <x:v>15.166666666666666</x:v>
      </x:c>
      <x:c r="K18" s="93" t="n">
        <x:f>C18-I18</x:f>
        <x:v>-0.25</x:v>
      </x:c>
      <x:c r="L18" s="93" t="n">
        <x:f>D18-J18</x:f>
        <x:v>-15.166666666666666</x:v>
      </x:c>
      <x:c r="M18" s="32" t="str">
        <x:f>IF(C18=0,"No activity",IF(C18&gt;=I18,"At/above avg","Below avg"))</x:f>
        <x:v>No activity</x:v>
      </x:c>
      <x:c r="N18" s="33" t="str">
        <x:v>git log --numstat</x:v>
      </x:c>
      <x:c r="O18" s="34" t="str">
        <x:v>No commits in period</x:v>
      </x:c>
      <x:c r="P18" s="32" t="str"/>
    </x:row>
    <x:row r="19">
      <x:c r="B19" s="91" t="n">
        <x:v>45992</x:v>
      </x:c>
      <x:c r="C19" s="92" t="n">
        <x:v>0</x:v>
      </x:c>
      <x:c r="D19" s="92" t="n">
        <x:v>0</x:v>
      </x:c>
      <x:c r="E19" s="92" t="n">
        <x:v>0</x:v>
      </x:c>
      <x:c r="F19" s="92" t="n">
        <x:v>0</x:v>
      </x:c>
      <x:c r="G19" s="92" t="n">
        <x:v>0</x:v>
      </x:c>
      <x:c r="H19" s="92" t="n">
        <x:v>0</x:v>
      </x:c>
      <x:c r="I19" s="93" t="n">
        <x:f>AVERAGE($C$16:$C$27)</x:f>
        <x:v>0.25</x:v>
      </x:c>
      <x:c r="J19" s="93" t="n">
        <x:f>AVERAGE($D$16:$D$27)</x:f>
        <x:v>15.166666666666666</x:v>
      </x:c>
      <x:c r="K19" s="93" t="n">
        <x:f>C19-I19</x:f>
        <x:v>-0.25</x:v>
      </x:c>
      <x:c r="L19" s="93" t="n">
        <x:f>D19-J19</x:f>
        <x:v>-15.166666666666666</x:v>
      </x:c>
      <x:c r="M19" s="32" t="str">
        <x:f>IF(C19=0,"No activity",IF(C19&gt;=I19,"At/above avg","Below avg"))</x:f>
        <x:v>No activity</x:v>
      </x:c>
      <x:c r="N19" s="33" t="str">
        <x:v>git log --numstat</x:v>
      </x:c>
      <x:c r="O19" s="34" t="str">
        <x:v>No commits in period</x:v>
      </x:c>
      <x:c r="P19" s="32" t="str"/>
    </x:row>
    <x:row r="20">
      <x:c r="B20" s="91" t="n">
        <x:v>46023</x:v>
      </x:c>
      <x:c r="C20" s="92" t="n">
        <x:v>0</x:v>
      </x:c>
      <x:c r="D20" s="92" t="n">
        <x:v>0</x:v>
      </x:c>
      <x:c r="E20" s="92" t="n">
        <x:v>0</x:v>
      </x:c>
      <x:c r="F20" s="92" t="n">
        <x:v>0</x:v>
      </x:c>
      <x:c r="G20" s="92" t="n">
        <x:v>0</x:v>
      </x:c>
      <x:c r="H20" s="92" t="n">
        <x:v>0</x:v>
      </x:c>
      <x:c r="I20" s="93" t="n">
        <x:f>AVERAGE($C$16:$C$27)</x:f>
        <x:v>0.25</x:v>
      </x:c>
      <x:c r="J20" s="93" t="n">
        <x:f>AVERAGE($D$16:$D$27)</x:f>
        <x:v>15.166666666666666</x:v>
      </x:c>
      <x:c r="K20" s="93" t="n">
        <x:f>C20-I20</x:f>
        <x:v>-0.25</x:v>
      </x:c>
      <x:c r="L20" s="93" t="n">
        <x:f>D20-J20</x:f>
        <x:v>-15.166666666666666</x:v>
      </x:c>
      <x:c r="M20" s="32" t="str">
        <x:f>IF(C20=0,"No activity",IF(C20&gt;=I20,"At/above avg","Below avg"))</x:f>
        <x:v>No activity</x:v>
      </x:c>
      <x:c r="N20" s="33" t="str">
        <x:v>git log --numstat</x:v>
      </x:c>
      <x:c r="O20" s="34" t="str">
        <x:v>No commits in period</x:v>
      </x:c>
      <x:c r="P20" s="32" t="str"/>
    </x:row>
    <x:row r="21">
      <x:c r="B21" s="91" t="n">
        <x:v>46054</x:v>
      </x:c>
      <x:c r="C21" s="92" t="n">
        <x:v>0</x:v>
      </x:c>
      <x:c r="D21" s="92" t="n">
        <x:v>0</x:v>
      </x:c>
      <x:c r="E21" s="92" t="n">
        <x:v>0</x:v>
      </x:c>
      <x:c r="F21" s="92" t="n">
        <x:v>0</x:v>
      </x:c>
      <x:c r="G21" s="92" t="n">
        <x:v>0</x:v>
      </x:c>
      <x:c r="H21" s="92" t="n">
        <x:v>0</x:v>
      </x:c>
      <x:c r="I21" s="93" t="n">
        <x:f>AVERAGE($C$16:$C$27)</x:f>
        <x:v>0.25</x:v>
      </x:c>
      <x:c r="J21" s="93" t="n">
        <x:f>AVERAGE($D$16:$D$27)</x:f>
        <x:v>15.166666666666666</x:v>
      </x:c>
      <x:c r="K21" s="93" t="n">
        <x:f>C21-I21</x:f>
        <x:v>-0.25</x:v>
      </x:c>
      <x:c r="L21" s="93" t="n">
        <x:f>D21-J21</x:f>
        <x:v>-15.166666666666666</x:v>
      </x:c>
      <x:c r="M21" s="32" t="str">
        <x:f>IF(C21=0,"No activity",IF(C21&gt;=I21,"At/above avg","Below avg"))</x:f>
        <x:v>No activity</x:v>
      </x:c>
      <x:c r="N21" s="33" t="str">
        <x:v>git log --numstat</x:v>
      </x:c>
      <x:c r="O21" s="34" t="str">
        <x:v>No commits in period</x:v>
      </x:c>
      <x:c r="P21" s="32" t="str"/>
    </x:row>
    <x:row r="22">
      <x:c r="B22" s="91" t="n">
        <x:v>46082</x:v>
      </x:c>
      <x:c r="C22" s="92" t="n">
        <x:v>0</x:v>
      </x:c>
      <x:c r="D22" s="92" t="n">
        <x:v>0</x:v>
      </x:c>
      <x:c r="E22" s="92" t="n">
        <x:v>0</x:v>
      </x:c>
      <x:c r="F22" s="92" t="n">
        <x:v>0</x:v>
      </x:c>
      <x:c r="G22" s="92" t="n">
        <x:v>0</x:v>
      </x:c>
      <x:c r="H22" s="92" t="n">
        <x:v>0</x:v>
      </x:c>
      <x:c r="I22" s="93" t="n">
        <x:f>AVERAGE($C$16:$C$27)</x:f>
        <x:v>0.25</x:v>
      </x:c>
      <x:c r="J22" s="93" t="n">
        <x:f>AVERAGE($D$16:$D$27)</x:f>
        <x:v>15.166666666666666</x:v>
      </x:c>
      <x:c r="K22" s="93" t="n">
        <x:f>C22-I22</x:f>
        <x:v>-0.25</x:v>
      </x:c>
      <x:c r="L22" s="93" t="n">
        <x:f>D22-J22</x:f>
        <x:v>-15.166666666666666</x:v>
      </x:c>
      <x:c r="M22" s="32" t="str">
        <x:f>IF(C22=0,"No activity",IF(C22&gt;=I22,"At/above avg","Below avg"))</x:f>
        <x:v>No activity</x:v>
      </x:c>
      <x:c r="N22" s="33" t="str">
        <x:v>git log --numstat</x:v>
      </x:c>
      <x:c r="O22" s="34" t="str">
        <x:v>No commits in period</x:v>
      </x:c>
      <x:c r="P22" s="32" t="str"/>
    </x:row>
    <x:row r="23">
      <x:c r="B23" s="91" t="n">
        <x:v>46113</x:v>
      </x:c>
      <x:c r="C23" s="92" t="n">
        <x:v>0</x:v>
      </x:c>
      <x:c r="D23" s="92" t="n">
        <x:v>0</x:v>
      </x:c>
      <x:c r="E23" s="92" t="n">
        <x:v>0</x:v>
      </x:c>
      <x:c r="F23" s="92" t="n">
        <x:v>0</x:v>
      </x:c>
      <x:c r="G23" s="92" t="n">
        <x:v>0</x:v>
      </x:c>
      <x:c r="H23" s="92" t="n">
        <x:v>0</x:v>
      </x:c>
      <x:c r="I23" s="93" t="n">
        <x:f>AVERAGE($C$16:$C$27)</x:f>
        <x:v>0.25</x:v>
      </x:c>
      <x:c r="J23" s="93" t="n">
        <x:f>AVERAGE($D$16:$D$27)</x:f>
        <x:v>15.166666666666666</x:v>
      </x:c>
      <x:c r="K23" s="93" t="n">
        <x:f>C23-I23</x:f>
        <x:v>-0.25</x:v>
      </x:c>
      <x:c r="L23" s="93" t="n">
        <x:f>D23-J23</x:f>
        <x:v>-15.166666666666666</x:v>
      </x:c>
      <x:c r="M23" s="32" t="str">
        <x:f>IF(C23=0,"No activity",IF(C23&gt;=I23,"At/above avg","Below avg"))</x:f>
        <x:v>No activity</x:v>
      </x:c>
      <x:c r="N23" s="33" t="str">
        <x:v>git log --numstat</x:v>
      </x:c>
      <x:c r="O23" s="34" t="str">
        <x:v>No commits in period</x:v>
      </x:c>
      <x:c r="P23" s="32" t="str"/>
    </x:row>
    <x:row r="24">
      <x:c r="B24" s="91" t="n">
        <x:v>46143</x:v>
      </x:c>
      <x:c r="C24" s="92" t="n">
        <x:v>0</x:v>
      </x:c>
      <x:c r="D24" s="92" t="n">
        <x:v>0</x:v>
      </x:c>
      <x:c r="E24" s="92" t="n">
        <x:v>0</x:v>
      </x:c>
      <x:c r="F24" s="92" t="n">
        <x:v>0</x:v>
      </x:c>
      <x:c r="G24" s="92" t="n">
        <x:v>0</x:v>
      </x:c>
      <x:c r="H24" s="92" t="n">
        <x:v>0</x:v>
      </x:c>
      <x:c r="I24" s="93" t="n">
        <x:f>AVERAGE($C$16:$C$27)</x:f>
        <x:v>0.25</x:v>
      </x:c>
      <x:c r="J24" s="93" t="n">
        <x:f>AVERAGE($D$16:$D$27)</x:f>
        <x:v>15.166666666666666</x:v>
      </x:c>
      <x:c r="K24" s="93" t="n">
        <x:f>C24-I24</x:f>
        <x:v>-0.25</x:v>
      </x:c>
      <x:c r="L24" s="93" t="n">
        <x:f>D24-J24</x:f>
        <x:v>-15.166666666666666</x:v>
      </x:c>
      <x:c r="M24" s="32" t="str">
        <x:f>IF(C24=0,"No activity",IF(C24&gt;=I24,"At/above avg","Below avg"))</x:f>
        <x:v>No activity</x:v>
      </x:c>
      <x:c r="N24" s="33" t="str">
        <x:v>git log --numstat</x:v>
      </x:c>
      <x:c r="O24" s="34" t="str">
        <x:v>No commits in period</x:v>
      </x:c>
      <x:c r="P24" s="32" t="str"/>
    </x:row>
    <x:row r="25">
      <x:c r="B25" s="91" t="n">
        <x:v>46174</x:v>
      </x:c>
      <x:c r="C25" s="92" t="n">
        <x:v>0</x:v>
      </x:c>
      <x:c r="D25" s="92" t="n">
        <x:v>0</x:v>
      </x:c>
      <x:c r="E25" s="92" t="n">
        <x:v>0</x:v>
      </x:c>
      <x:c r="F25" s="92" t="n">
        <x:v>0</x:v>
      </x:c>
      <x:c r="G25" s="92" t="n">
        <x:v>0</x:v>
      </x:c>
      <x:c r="H25" s="92" t="n">
        <x:v>0</x:v>
      </x:c>
      <x:c r="I25" s="93" t="n">
        <x:f>AVERAGE($C$16:$C$27)</x:f>
        <x:v>0.25</x:v>
      </x:c>
      <x:c r="J25" s="93" t="n">
        <x:f>AVERAGE($D$16:$D$27)</x:f>
        <x:v>15.166666666666666</x:v>
      </x:c>
      <x:c r="K25" s="93" t="n">
        <x:f>C25-I25</x:f>
        <x:v>-0.25</x:v>
      </x:c>
      <x:c r="L25" s="93" t="n">
        <x:f>D25-J25</x:f>
        <x:v>-15.166666666666666</x:v>
      </x:c>
      <x:c r="M25" s="32" t="str">
        <x:f>IF(C25=0,"No activity",IF(C25&gt;=I25,"At/above avg","Below avg"))</x:f>
        <x:v>No activity</x:v>
      </x:c>
      <x:c r="N25" s="33" t="str">
        <x:v>git log --numstat</x:v>
      </x:c>
      <x:c r="O25" s="34" t="str">
        <x:v>No commits in period</x:v>
      </x:c>
      <x:c r="P25" s="32" t="str"/>
    </x:row>
    <x:row r="26">
      <x:c r="B26" s="91" t="n">
        <x:v>46204</x:v>
      </x:c>
      <x:c r="C26" s="92" t="n">
        <x:v>2</x:v>
      </x:c>
      <x:c r="D26" s="92" t="n">
        <x:v>119</x:v>
      </x:c>
      <x:c r="E26" s="92" t="n">
        <x:v>7475</x:v>
      </x:c>
      <x:c r="F26" s="92" t="n">
        <x:v>2014</x:v>
      </x:c>
      <x:c r="G26" s="92" t="n">
        <x:v>1</x:v>
      </x:c>
      <x:c r="H26" s="92" t="n">
        <x:v>2</x:v>
      </x:c>
      <x:c r="I26" s="93" t="n">
        <x:f>AVERAGE($C$16:$C$27)</x:f>
        <x:v>0.25</x:v>
      </x:c>
      <x:c r="J26" s="93" t="n">
        <x:f>AVERAGE($D$16:$D$27)</x:f>
        <x:v>15.166666666666666</x:v>
      </x:c>
      <x:c r="K26" s="93" t="n">
        <x:f>C26-I26</x:f>
        <x:v>1.75</x:v>
      </x:c>
      <x:c r="L26" s="93" t="n">
        <x:f>D26-J26</x:f>
        <x:v>103.83333333333333</x:v>
      </x:c>
      <x:c r="M26" s="32" t="str">
        <x:f>IF(C26=0,"No activity",IF(C26&gt;=I26,"At/above avg","Below avg"))</x:f>
        <x:v>At/above avg</x:v>
      </x:c>
      <x:c r="N26" s="33" t="str">
        <x:v>git log --numstat</x:v>
      </x:c>
      <x:c r="O26" s="34" t="str">
        <x:v>Observed Git activity</x:v>
      </x:c>
      <x:c r="P26" s="32" t="str"/>
    </x:row>
    <x:row r="27">
      <x:c r="B27" s="91" t="n">
        <x:v>46235</x:v>
      </x:c>
      <x:c r="C27" s="92" t="n">
        <x:v>1</x:v>
      </x:c>
      <x:c r="D27" s="92" t="n">
        <x:v>63</x:v>
      </x:c>
      <x:c r="E27" s="92" t="n">
        <x:v>11956</x:v>
      </x:c>
      <x:c r="F27" s="92" t="n">
        <x:v>0</x:v>
      </x:c>
      <x:c r="G27" s="92" t="n">
        <x:v>1</x:v>
      </x:c>
      <x:c r="H27" s="92" t="n">
        <x:v>0</x:v>
      </x:c>
      <x:c r="I27" s="93" t="n">
        <x:f>AVERAGE($C$16:$C$27)</x:f>
        <x:v>0.25</x:v>
      </x:c>
      <x:c r="J27" s="93" t="n">
        <x:f>AVERAGE($D$16:$D$27)</x:f>
        <x:v>15.166666666666666</x:v>
      </x:c>
      <x:c r="K27" s="93" t="n">
        <x:f>C27-I27</x:f>
        <x:v>0.75</x:v>
      </x:c>
      <x:c r="L27" s="93" t="n">
        <x:f>D27-J27</x:f>
        <x:v>47.833333333333336</x:v>
      </x:c>
      <x:c r="M27" s="32" t="str">
        <x:f>IF(C27=0,"No activity",IF(C27&gt;=I27,"At/above avg","Below avg"))</x:f>
        <x:v>At/above avg</x:v>
      </x:c>
      <x:c r="N27" s="33" t="str">
        <x:v>git log --numstat</x:v>
      </x:c>
      <x:c r="O27" s="34" t="str">
        <x:v>Observed Git activity</x:v>
      </x:c>
      <x:c r="P27" s="32" t="str">
        <x:v>4d6120d124aa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tr">
        <x:v>ENGINEERING COVERAGE — SOURCE-DERIVED</x:v>
      </x:c>
      <x:c r="C29" s="86"/>
      <x:c r="D29" s="86"/>
      <x:c r="E29" s="86"/>
      <x:c r="F29" s="28"/>
      <x:c r="G29" s="86" t="str">
        <x:v>TRACKED FILE MIX — SOURCE-DERIVED</x:v>
      </x:c>
      <x:c r="H29" s="86"/>
      <x:c r="I29" s="86"/>
      <x:c r="J29" s="86"/>
      <x:c r="K29" s="28"/>
      <x:c r="L29" s="28"/>
      <x:c r="M29" s="28"/>
      <x:c r="N29" s="28"/>
      <x:c r="O29" s="28"/>
      <x:c r="P29" s="28"/>
    </x:row>
    <x:row r="30">
      <x:c r="B30" s="94" t="str">
        <x:v>Metric</x:v>
      </x:c>
      <x:c r="C30" s="94" t="str">
        <x:v>Actual</x:v>
      </x:c>
      <x:c r="D30" s="99" t="str">
        <x:v>Scope</x:v>
      </x:c>
      <x:c r="E30" s="100" t="str">
        <x:v>Coverage</x:v>
      </x:c>
      <x:c r="F30" s="28"/>
      <x:c r="G30" s="94" t="str">
        <x:v>Repository Area</x:v>
      </x:c>
      <x:c r="H30" s="94" t="str">
        <x:v>Files</x:v>
      </x:c>
      <x:c r="I30" s="99" t="str">
        <x:v>Share</x:v>
      </x:c>
      <x:c r="J30" s="100" t="str">
        <x:v>Basis</x:v>
      </x:c>
      <x:c r="K30" s="28"/>
      <x:c r="L30" s="28"/>
      <x:c r="M30" s="28"/>
      <x:c r="N30" s="28"/>
      <x:c r="O30" s="28"/>
      <x:c r="P30" s="28"/>
    </x:row>
    <x:row r="31">
      <x:c r="B31" s="4" t="str">
        <x:v>Public build routes mapped</x:v>
      </x:c>
      <x:c r="C31" s="92" t="n">
        <x:v>5</x:v>
      </x:c>
      <x:c r="D31" s="101" t="n">
        <x:v>5</x:v>
      </x:c>
      <x:c r="E31" s="102" t="n">
        <x:f>IFERROR(C31/D31,0)</x:f>
        <x:v>1</x:v>
      </x:c>
      <x:c r="F31" s="28"/>
      <x:c r="G31" s="4" t="str">
        <x:v>Forge</x:v>
      </x:c>
      <x:c r="H31" s="92" t="n">
        <x:v>103</x:v>
      </x:c>
      <x:c r="I31" s="104" t="n">
        <x:f>H31/SUM($H$31:$H$35)</x:f>
        <x:v>0.42738589211618255</x:v>
      </x:c>
      <x:c r="J31" s="28" t="str">
        <x:v>git ls-files</x:v>
      </x:c>
      <x:c r="K31" s="28"/>
      <x:c r="L31" s="28"/>
      <x:c r="M31" s="28"/>
      <x:c r="N31" s="28"/>
      <x:c r="O31" s="28"/>
      <x:c r="P31" s="28"/>
    </x:row>
    <x:row r="32">
      <x:c r="B32" s="4" t="str">
        <x:v>Product projects in solution</x:v>
      </x:c>
      <x:c r="C32" s="92" t="n">
        <x:v>5</x:v>
      </x:c>
      <x:c r="D32" s="101" t="n">
        <x:v>5</x:v>
      </x:c>
      <x:c r="E32" s="102" t="n">
        <x:f>IFERROR(C32/D32,0)</x:f>
        <x:v>1</x:v>
      </x:c>
      <x:c r="F32" s="28"/>
      <x:c r="G32" s="4" t="str">
        <x:v>Documentation</x:v>
      </x:c>
      <x:c r="H32" s="92" t="n">
        <x:v>29</x:v>
      </x:c>
      <x:c r="I32" s="104" t="n">
        <x:f>H32/SUM($H$31:$H$35)</x:f>
        <x:v>0.12033195020746888</x:v>
      </x:c>
      <x:c r="J32" s="28" t="str">
        <x:v>git ls-files</x:v>
      </x:c>
      <x:c r="K32" s="28"/>
      <x:c r="L32" s="28"/>
      <x:c r="M32" s="28"/>
      <x:c r="N32" s="28"/>
      <x:c r="O32" s="28"/>
      <x:c r="P32" s="28"/>
    </x:row>
    <x:row r="33">
      <x:c r="B33" s="4" t="str">
        <x:v>Test projects in solution</x:v>
      </x:c>
      <x:c r="C33" s="92" t="n">
        <x:v>5</x:v>
      </x:c>
      <x:c r="D33" s="101" t="n">
        <x:v>5</x:v>
      </x:c>
      <x:c r="E33" s="102" t="n">
        <x:f>IFERROR(C33/D33,0)</x:f>
        <x:v>1</x:v>
      </x:c>
      <x:c r="F33" s="28"/>
      <x:c r="G33" s="4" t="str">
        <x:v>Tooling</x:v>
      </x:c>
      <x:c r="H33" s="92" t="n">
        <x:v>45</x:v>
      </x:c>
      <x:c r="I33" s="104" t="n">
        <x:f>H33/SUM($H$31:$H$35)</x:f>
        <x:v>0.18672199170124482</x:v>
      </x:c>
      <x:c r="J33" s="28" t="str">
        <x:v>git ls-files</x:v>
      </x:c>
      <x:c r="K33" s="28"/>
      <x:c r="L33" s="28"/>
      <x:c r="M33" s="28"/>
      <x:c r="N33" s="28"/>
      <x:c r="O33" s="28"/>
      <x:c r="P33" s="28"/>
    </x:row>
    <x:row r="34">
      <x:c r="B34" s="4" t="str">
        <x:v>Test projects run in CI</x:v>
      </x:c>
      <x:c r="C34" s="92" t="n">
        <x:v>1</x:v>
      </x:c>
      <x:c r="D34" s="101" t="n">
        <x:v>5</x:v>
      </x:c>
      <x:c r="E34" s="102" t="n">
        <x:f>IFERROR(C34/D34,0)</x:f>
        <x:v>0.2</x:v>
      </x:c>
      <x:c r="F34" s="28"/>
      <x:c r="G34" s="4" t="str">
        <x:v>CI &amp; policy</x:v>
      </x:c>
      <x:c r="H34" s="92" t="n">
        <x:v>45</x:v>
      </x:c>
      <x:c r="I34" s="104" t="n">
        <x:f>H34/SUM($H$31:$H$35)</x:f>
        <x:v>0.18672199170124482</x:v>
      </x:c>
      <x:c r="J34" s="28" t="str">
        <x:v>git ls-files</x:v>
      </x:c>
      <x:c r="K34" s="28"/>
      <x:c r="L34" s="28"/>
      <x:c r="M34" s="28"/>
      <x:c r="N34" s="28"/>
      <x:c r="O34" s="28"/>
      <x:c r="P34" s="28"/>
    </x:row>
    <x:row r="35">
      <x:c r="B35" s="4" t="str">
        <x:v>Official release modes</x:v>
      </x:c>
      <x:c r="C35" s="92" t="n">
        <x:v>2</x:v>
      </x:c>
      <x:c r="D35" s="101" t="n">
        <x:v>2</x:v>
      </x:c>
      <x:c r="E35" s="102" t="n">
        <x:f>IFERROR(C35/D35,0)</x:f>
        <x:v>1</x:v>
      </x:c>
      <x:c r="F35" s="28"/>
      <x:c r="G35" s="5" t="str">
        <x:v>Root &amp; other</x:v>
      </x:c>
      <x:c r="H35" s="103" t="n">
        <x:v>19</x:v>
      </x:c>
      <x:c r="I35" s="104" t="n">
        <x:f>H35/SUM($H$31:$H$35)</x:f>
        <x:v>0.07883817427385892</x:v>
      </x:c>
      <x:c r="J35" s="28" t="str">
        <x:v>git ls-files</x:v>
      </x:c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'Data &amp; Targets'!$B$16:$B$27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Metric</x:v>
      </x:c>
      <x:c r="B1" s="3" t="str">
        <x:v>Actual</x:v>
      </x:c>
      <x:c r="C1" s="3" t="str">
        <x:v>Scope</x:v>
      </x:c>
      <x:c r="D1" s="3" t="str">
        <x:v>Coverage</x:v>
      </x:c>
      <x:c r="E1" s="3" t="str">
        <x:v>Gap</x:v>
      </x:c>
      <x:c r="F1" s="3" t="str">
        <x:v>Status</x:v>
      </x:c>
      <x:c r="G1" s="4"/>
      <x:c r="H1" s="3" t="str">
        <x:v>Period</x:v>
      </x:c>
      <x:c r="I1" s="3" t="str">
        <x:v>Commits</x:v>
      </x:c>
      <x:c r="J1" s="3" t="str">
        <x:v>12M average</x:v>
      </x:c>
      <x:c r="K1" s="4"/>
      <x:c r="L1" s="3" t="str">
        <x:v>Period</x:v>
      </x:c>
      <x:c r="M1" s="3" t="str">
        <x:v>Files touched</x:v>
      </x:c>
      <x:c r="N1" s="3" t="str">
        <x:v>12M average</x:v>
      </x:c>
      <x:c r="O1" s="4"/>
      <x:c r="P1" s="3" t="str">
        <x:v>Stage</x:v>
      </x:c>
      <x:c r="Q1" s="3" t="str">
        <x:v>Projects</x:v>
      </x:c>
      <x:c r="R1" s="4"/>
      <x:c r="S1" s="3" t="str">
        <x:v>Repository Area</x:v>
      </x:c>
      <x:c r="T1" s="3" t="str">
        <x:v>Files</x:v>
      </x:c>
    </x:row>
    <x:row r="2">
      <x:c r="A2" s="4" t="str">
        <x:f>'Data &amp; Targets'!B31</x:f>
        <x:v>Public build routes mapped</x:v>
      </x:c>
      <x:c r="B2" s="105" t="n">
        <x:f>'Data &amp; Targets'!C31</x:f>
        <x:v>5</x:v>
      </x:c>
      <x:c r="C2" s="105" t="n">
        <x:f>'Data &amp; Targets'!D31</x:f>
        <x:v>5</x:v>
      </x:c>
      <x:c r="D2" s="106" t="n">
        <x:f>'Data &amp; Targets'!E31</x:f>
        <x:v>1</x:v>
      </x:c>
      <x:c r="E2" s="107" t="n">
        <x:f t="shared" ref="E2:E7" si="0">B2-C2</x:f>
        <x:v>0</x:v>
      </x:c>
      <x:c r="F2" s="4" t="str">
        <x:f t="shared" ref="F2:F9" si="1">IF(B2=C2,"Complete",IF(B2=0,"Absent","Partial"))</x:f>
        <x:v>Complete</x:v>
      </x:c>
      <x:c r="G2" s="4"/>
      <x:c r="H2" s="108" t="n">
        <x:f>'Data &amp; Targets'!B16</x:f>
        <x:v>45901</x:v>
      </x:c>
      <x:c r="I2" s="4" t="n">
        <x:f>'Data &amp; Targets'!C16</x:f>
        <x:v>0</x:v>
      </x:c>
      <x:c r="J2" s="4" t="n">
        <x:f>'Data &amp; Targets'!I16</x:f>
        <x:v>0.25</x:v>
      </x:c>
      <x:c r="K2" s="4"/>
      <x:c r="L2" s="108" t="n">
        <x:f>'Data &amp; Targets'!B16</x:f>
        <x:v>45901</x:v>
      </x:c>
      <x:c r="M2" s="4" t="n">
        <x:f>'Data &amp; Targets'!D16</x:f>
        <x:v>0</x:v>
      </x:c>
      <x:c r="N2" s="4" t="n">
        <x:f>'Data &amp; Targets'!J16</x:f>
        <x:v>15.166666666666666</x:v>
      </x:c>
      <x:c r="O2" s="4"/>
      <x:c r="P2" s="4" t="str">
        <x:v>Available test projects</x:v>
      </x:c>
      <x:c r="Q2" s="6" t="n">
        <x:f>'Data &amp; Targets'!D34</x:f>
        <x:v>5</x:v>
      </x:c>
      <x:c r="R2" s="4"/>
      <x:c r="S2" s="4" t="str">
        <x:f>'Data &amp; Targets'!G31</x:f>
        <x:v>Forge</x:v>
      </x:c>
      <x:c r="T2" s="105" t="n">
        <x:f>'Data &amp; Targets'!H31</x:f>
        <x:v>103</x:v>
      </x:c>
    </x:row>
    <x:row r="3">
      <x:c r="A3" s="4" t="str">
        <x:f>'Data &amp; Targets'!B32</x:f>
        <x:v>Product projects in solution</x:v>
      </x:c>
      <x:c r="B3" s="105" t="n">
        <x:f>'Data &amp; Targets'!C32</x:f>
        <x:v>5</x:v>
      </x:c>
      <x:c r="C3" s="105" t="n">
        <x:f>'Data &amp; Targets'!D32</x:f>
        <x:v>5</x:v>
      </x:c>
      <x:c r="D3" s="106" t="n">
        <x:f>'Data &amp; Targets'!E32</x:f>
        <x:v>1</x:v>
      </x:c>
      <x:c r="E3" s="107" t="n">
        <x:f t="shared" si="0">B3-C3</x:f>
        <x:v>0</x:v>
      </x:c>
      <x:c r="F3" s="4" t="str">
        <x:f t="shared" si="1">IF(B3=C3,"Complete",IF(B3=0,"Absent","Partial"))</x:f>
        <x:v>Complete</x:v>
      </x:c>
      <x:c r="G3" s="4"/>
      <x:c r="H3" s="108" t="n">
        <x:f>'Data &amp; Targets'!B17</x:f>
        <x:v>45931</x:v>
      </x:c>
      <x:c r="I3" s="4" t="n">
        <x:f>'Data &amp; Targets'!C17</x:f>
        <x:v>0</x:v>
      </x:c>
      <x:c r="J3" s="4" t="n">
        <x:f>'Data &amp; Targets'!I17</x:f>
        <x:v>0.25</x:v>
      </x:c>
      <x:c r="K3" s="4"/>
      <x:c r="L3" s="108" t="n">
        <x:f>'Data &amp; Targets'!B17</x:f>
        <x:v>45931</x:v>
      </x:c>
      <x:c r="M3" s="4" t="n">
        <x:f>'Data &amp; Targets'!D17</x:f>
        <x:v>0</x:v>
      </x:c>
      <x:c r="N3" s="4" t="n">
        <x:f>'Data &amp; Targets'!J17</x:f>
        <x:v>15.166666666666666</x:v>
      </x:c>
      <x:c r="O3" s="4"/>
      <x:c r="P3" s="4" t="str">
        <x:v>Executed in CI</x:v>
      </x:c>
      <x:c r="Q3" s="6" t="n">
        <x:f>'Data &amp; Targets'!C34</x:f>
        <x:v>1</x:v>
      </x:c>
      <x:c r="R3" s="4"/>
      <x:c r="S3" s="4" t="str">
        <x:f>'Data &amp; Targets'!G32</x:f>
        <x:v>Documentation</x:v>
      </x:c>
      <x:c r="T3" s="105" t="n">
        <x:f>'Data &amp; Targets'!H32</x:f>
        <x:v>29</x:v>
      </x:c>
    </x:row>
    <x:row r="4">
      <x:c r="A4" s="4" t="str">
        <x:f>'Data &amp; Targets'!B33</x:f>
        <x:v>Test projects in solution</x:v>
      </x:c>
      <x:c r="B4" s="105" t="n">
        <x:f>'Data &amp; Targets'!C33</x:f>
        <x:v>5</x:v>
      </x:c>
      <x:c r="C4" s="105" t="n">
        <x:f>'Data &amp; Targets'!D33</x:f>
        <x:v>5</x:v>
      </x:c>
      <x:c r="D4" s="106" t="n">
        <x:f>'Data &amp; Targets'!E33</x:f>
        <x:v>1</x:v>
      </x:c>
      <x:c r="E4" s="107" t="n">
        <x:f t="shared" si="0">B4-C4</x:f>
        <x:v>0</x:v>
      </x:c>
      <x:c r="F4" s="4" t="str">
        <x:f t="shared" si="1">IF(B4=C4,"Complete",IF(B4=0,"Absent","Partial"))</x:f>
        <x:v>Complete</x:v>
      </x:c>
      <x:c r="G4" s="4"/>
      <x:c r="H4" s="108" t="n">
        <x:f>'Data &amp; Targets'!B18</x:f>
        <x:v>45962</x:v>
      </x:c>
      <x:c r="I4" s="4" t="n">
        <x:f>'Data &amp; Targets'!C18</x:f>
        <x:v>0</x:v>
      </x:c>
      <x:c r="J4" s="4" t="n">
        <x:f>'Data &amp; Targets'!I18</x:f>
        <x:v>0.25</x:v>
      </x:c>
      <x:c r="K4" s="4"/>
      <x:c r="L4" s="108" t="n">
        <x:f>'Data &amp; Targets'!B18</x:f>
        <x:v>45962</x:v>
      </x:c>
      <x:c r="M4" s="4" t="n">
        <x:f>'Data &amp; Targets'!D18</x:f>
        <x:v>0</x:v>
      </x:c>
      <x:c r="N4" s="4" t="n">
        <x:f>'Data &amp; Targets'!J18</x:f>
        <x:v>15.166666666666666</x:v>
      </x:c>
      <x:c r="O4" s="4"/>
      <x:c r="P4" s="4"/>
      <x:c r="Q4" s="6"/>
      <x:c r="R4" s="4"/>
      <x:c r="S4" s="4" t="str">
        <x:f>'Data &amp; Targets'!G33</x:f>
        <x:v>Tooling</x:v>
      </x:c>
      <x:c r="T4" s="105" t="n">
        <x:f>'Data &amp; Targets'!H33</x:f>
        <x:v>45</x:v>
      </x:c>
    </x:row>
    <x:row r="5">
      <x:c r="A5" s="4" t="str">
        <x:f>'Data &amp; Targets'!B34</x:f>
        <x:v>Test projects run in CI</x:v>
      </x:c>
      <x:c r="B5" s="105" t="n">
        <x:f>'Data &amp; Targets'!C34</x:f>
        <x:v>1</x:v>
      </x:c>
      <x:c r="C5" s="105" t="n">
        <x:f>'Data &amp; Targets'!D34</x:f>
        <x:v>5</x:v>
      </x:c>
      <x:c r="D5" s="106" t="n">
        <x:f>'Data &amp; Targets'!E34</x:f>
        <x:v>0.2</x:v>
      </x:c>
      <x:c r="E5" s="107" t="n">
        <x:f t="shared" si="0">B5-C5</x:f>
        <x:v>-4</x:v>
      </x:c>
      <x:c r="F5" s="4" t="str">
        <x:f t="shared" si="1">IF(B5=C5,"Complete",IF(B5=0,"Absent","Partial"))</x:f>
        <x:v>Partial</x:v>
      </x:c>
      <x:c r="G5" s="4"/>
      <x:c r="H5" s="108" t="n">
        <x:f>'Data &amp; Targets'!B19</x:f>
        <x:v>45992</x:v>
      </x:c>
      <x:c r="I5" s="4" t="n">
        <x:f>'Data &amp; Targets'!C19</x:f>
        <x:v>0</x:v>
      </x:c>
      <x:c r="J5" s="4" t="n">
        <x:f>'Data &amp; Targets'!I19</x:f>
        <x:v>0.25</x:v>
      </x:c>
      <x:c r="K5" s="4"/>
      <x:c r="L5" s="108" t="n">
        <x:f>'Data &amp; Targets'!B19</x:f>
        <x:v>45992</x:v>
      </x:c>
      <x:c r="M5" s="4" t="n">
        <x:f>'Data &amp; Targets'!D19</x:f>
        <x:v>0</x:v>
      </x:c>
      <x:c r="N5" s="4" t="n">
        <x:f>'Data &amp; Targets'!J19</x:f>
        <x:v>15.166666666666666</x:v>
      </x:c>
      <x:c r="O5" s="4"/>
      <x:c r="P5" s="4"/>
      <x:c r="Q5" s="6"/>
      <x:c r="R5" s="4"/>
      <x:c r="S5" s="4" t="str">
        <x:f>'Data &amp; Targets'!G34</x:f>
        <x:v>CI &amp; policy</x:v>
      </x:c>
      <x:c r="T5" s="105" t="n">
        <x:f>'Data &amp; Targets'!H34</x:f>
        <x:v>45</x:v>
      </x:c>
    </x:row>
    <x:row r="6">
      <x:c r="A6" s="4" t="str">
        <x:f>'Data &amp; Targets'!B35</x:f>
        <x:v>Official release modes</x:v>
      </x:c>
      <x:c r="B6" s="105" t="n">
        <x:f>'Data &amp; Targets'!C35</x:f>
        <x:v>2</x:v>
      </x:c>
      <x:c r="C6" s="105" t="n">
        <x:f>'Data &amp; Targets'!D35</x:f>
        <x:v>2</x:v>
      </x:c>
      <x:c r="D6" s="106" t="n">
        <x:f>'Data &amp; Targets'!E35</x:f>
        <x:v>1</x:v>
      </x:c>
      <x:c r="E6" s="107" t="n">
        <x:f t="shared" si="0">B6-C6</x:f>
        <x:v>0</x:v>
      </x:c>
      <x:c r="F6" s="4" t="str">
        <x:f t="shared" si="1">IF(B6=C6,"Complete",IF(B6=0,"Absent","Partial"))</x:f>
        <x:v>Complete</x:v>
      </x:c>
      <x:c r="G6" s="4"/>
      <x:c r="H6" s="108" t="n">
        <x:f>'Data &amp; Targets'!B20</x:f>
        <x:v>46023</x:v>
      </x:c>
      <x:c r="I6" s="4" t="n">
        <x:f>'Data &amp; Targets'!C20</x:f>
        <x:v>0</x:v>
      </x:c>
      <x:c r="J6" s="4" t="n">
        <x:f>'Data &amp; Targets'!I20</x:f>
        <x:v>0.25</x:v>
      </x:c>
      <x:c r="K6" s="4"/>
      <x:c r="L6" s="108" t="n">
        <x:f>'Data &amp; Targets'!B20</x:f>
        <x:v>46023</x:v>
      </x:c>
      <x:c r="M6" s="4" t="n">
        <x:f>'Data &amp; Targets'!D20</x:f>
        <x:v>0</x:v>
      </x:c>
      <x:c r="N6" s="4" t="n">
        <x:f>'Data &amp; Targets'!J20</x:f>
        <x:v>15.166666666666666</x:v>
      </x:c>
      <x:c r="O6" s="4"/>
      <x:c r="P6" s="4"/>
      <x:c r="Q6" s="6"/>
      <x:c r="R6" s="4"/>
      <x:c r="S6" s="4" t="str">
        <x:f>'Data &amp; Targets'!G35</x:f>
        <x:v>Root &amp; other</x:v>
      </x:c>
      <x:c r="T6" s="105" t="n">
        <x:f>'Data &amp; Targets'!H35</x:f>
        <x:v>19</x:v>
      </x:c>
    </x:row>
    <x:row r="7">
      <x:c r="A7" s="4"/>
      <x:c r="B7" s="9"/>
      <x:c r="C7" s="9"/>
      <x:c r="D7" s="9"/>
      <x:c r="E7" s="4">
        <x:f t="shared" si="0"/>
      </x:c>
      <x:c r="F7" s="4">
        <x:f t="shared" si="1"/>
      </x:c>
      <x:c r="G7" s="4"/>
      <x:c r="H7" s="108" t="n">
        <x:f>'Data &amp; Targets'!B21</x:f>
        <x:v>46054</x:v>
      </x:c>
      <x:c r="I7" s="4" t="n">
        <x:f>'Data &amp; Targets'!C21</x:f>
        <x:v>0</x:v>
      </x:c>
      <x:c r="J7" s="4" t="n">
        <x:f>'Data &amp; Targets'!I21</x:f>
        <x:v>0.25</x:v>
      </x:c>
      <x:c r="K7" s="4"/>
      <x:c r="L7" s="108" t="n">
        <x:f>'Data &amp; Targets'!B21</x:f>
        <x:v>46054</x:v>
      </x:c>
      <x:c r="M7" s="4" t="n">
        <x:f>'Data &amp; Targets'!D21</x:f>
        <x:v>0</x:v>
      </x:c>
      <x:c r="N7" s="4" t="n">
        <x:f>'Data &amp; Targets'!J21</x:f>
        <x:v>15.166666666666666</x:v>
      </x:c>
      <x:c r="O7" s="4"/>
      <x:c r="P7" s="4"/>
      <x:c r="Q7" s="4"/>
      <x:c r="R7" s="4"/>
      <x:c r="S7" s="4"/>
      <x:c r="T7" s="4"/>
    </x:row>
    <x:row r="8">
      <x:c r="A8" s="4"/>
      <x:c r="B8" s="7"/>
      <x:c r="C8" s="7"/>
      <x:c r="D8" s="7"/>
      <x:c r="E8" s="4"/>
      <x:c r="F8" s="4">
        <x:f t="shared" si="1"/>
      </x:c>
      <x:c r="G8" s="4"/>
      <x:c r="H8" s="108" t="n">
        <x:f>'Data &amp; Targets'!B22</x:f>
        <x:v>46082</x:v>
      </x:c>
      <x:c r="I8" s="4" t="n">
        <x:f>'Data &amp; Targets'!C22</x:f>
        <x:v>0</x:v>
      </x:c>
      <x:c r="J8" s="4" t="n">
        <x:f>'Data &amp; Targets'!I22</x:f>
        <x:v>0.25</x:v>
      </x:c>
      <x:c r="K8" s="4"/>
      <x:c r="L8" s="108" t="n">
        <x:f>'Data &amp; Targets'!B22</x:f>
        <x:v>46082</x:v>
      </x:c>
      <x:c r="M8" s="4" t="n">
        <x:f>'Data &amp; Targets'!D22</x:f>
        <x:v>0</x:v>
      </x:c>
      <x:c r="N8" s="4" t="n">
        <x:f>'Data &amp; Targets'!J22</x:f>
        <x:v>15.166666666666666</x:v>
      </x:c>
      <x:c r="O8" s="4"/>
      <x:c r="P8" s="4"/>
      <x:c r="Q8" s="4"/>
      <x:c r="R8" s="4"/>
      <x:c r="S8" s="4"/>
      <x:c r="T8" s="4"/>
    </x:row>
    <x:row r="9">
      <x:c r="A9" s="4"/>
      <x:c r="B9" s="10"/>
      <x:c r="C9" s="10"/>
      <x:c r="D9" s="10"/>
      <x:c r="E9" s="4"/>
      <x:c r="F9" s="4">
        <x:f t="shared" si="1"/>
      </x:c>
      <x:c r="G9" s="4"/>
      <x:c r="H9" s="108" t="n">
        <x:f>'Data &amp; Targets'!B23</x:f>
        <x:v>46113</x:v>
      </x:c>
      <x:c r="I9" s="4" t="n">
        <x:f>'Data &amp; Targets'!C23</x:f>
        <x:v>0</x:v>
      </x:c>
      <x:c r="J9" s="4" t="n">
        <x:f>'Data &amp; Targets'!I23</x:f>
        <x:v>0.25</x:v>
      </x:c>
      <x:c r="K9" s="4"/>
      <x:c r="L9" s="108" t="n">
        <x:f>'Data &amp; Targets'!B23</x:f>
        <x:v>46113</x:v>
      </x:c>
      <x:c r="M9" s="4" t="n">
        <x:f>'Data &amp; Targets'!D23</x:f>
        <x:v>0</x:v>
      </x:c>
      <x:c r="N9" s="4" t="n">
        <x:f>'Data &amp; Targets'!J23</x:f>
        <x:v>15.166666666666666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08" t="n">
        <x:f>'Data &amp; Targets'!B24</x:f>
        <x:v>46143</x:v>
      </x:c>
      <x:c r="I10" s="4" t="n">
        <x:f>'Data &amp; Targets'!C24</x:f>
        <x:v>0</x:v>
      </x:c>
      <x:c r="J10" s="4" t="n">
        <x:f>'Data &amp; Targets'!I24</x:f>
        <x:v>0.25</x:v>
      </x:c>
      <x:c r="K10" s="4"/>
      <x:c r="L10" s="108" t="n">
        <x:f>'Data &amp; Targets'!B24</x:f>
        <x:v>46143</x:v>
      </x:c>
      <x:c r="M10" s="4" t="n">
        <x:f>'Data &amp; Targets'!D24</x:f>
        <x:v>0</x:v>
      </x:c>
      <x:c r="N10" s="4" t="n">
        <x:f>'Data &amp; Targets'!J24</x:f>
        <x:v>15.166666666666666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08" t="n">
        <x:f>'Data &amp; Targets'!B25</x:f>
        <x:v>46174</x:v>
      </x:c>
      <x:c r="I11" s="4" t="n">
        <x:f>'Data &amp; Targets'!C25</x:f>
        <x:v>0</x:v>
      </x:c>
      <x:c r="J11" s="4" t="n">
        <x:f>'Data &amp; Targets'!I25</x:f>
        <x:v>0.25</x:v>
      </x:c>
      <x:c r="K11" s="4"/>
      <x:c r="L11" s="108" t="n">
        <x:f>'Data &amp; Targets'!B25</x:f>
        <x:v>46174</x:v>
      </x:c>
      <x:c r="M11" s="4" t="n">
        <x:f>'Data &amp; Targets'!D25</x:f>
        <x:v>0</x:v>
      </x:c>
      <x:c r="N11" s="4" t="n">
        <x:f>'Data &amp; Targets'!J25</x:f>
        <x:v>15.166666666666666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08" t="n">
        <x:f>'Data &amp; Targets'!B26</x:f>
        <x:v>46204</x:v>
      </x:c>
      <x:c r="I12" s="4" t="n">
        <x:f>'Data &amp; Targets'!C26</x:f>
        <x:v>2</x:v>
      </x:c>
      <x:c r="J12" s="4" t="n">
        <x:f>'Data &amp; Targets'!I26</x:f>
        <x:v>0.25</x:v>
      </x:c>
      <x:c r="K12" s="4"/>
      <x:c r="L12" s="108" t="n">
        <x:f>'Data &amp; Targets'!B26</x:f>
        <x:v>46204</x:v>
      </x:c>
      <x:c r="M12" s="4" t="n">
        <x:f>'Data &amp; Targets'!D26</x:f>
        <x:v>119</x:v>
      </x:c>
      <x:c r="N12" s="4" t="n">
        <x:f>'Data &amp; Targets'!J26</x:f>
        <x:v>15.166666666666666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08" t="n">
        <x:f>'Data &amp; Targets'!B27</x:f>
        <x:v>46235</x:v>
      </x:c>
      <x:c r="I13" s="4" t="n">
        <x:f>'Data &amp; Targets'!C27</x:f>
        <x:v>1</x:v>
      </x:c>
      <x:c r="J13" s="4" t="n">
        <x:f>'Data &amp; Targets'!I27</x:f>
        <x:v>0.25</x:v>
      </x:c>
      <x:c r="K13" s="4"/>
      <x:c r="L13" s="108" t="n">
        <x:f>'Data &amp; Targets'!B27</x:f>
        <x:v>46235</x:v>
      </x:c>
      <x:c r="M13" s="4" t="n">
        <x:f>'Data &amp; Targets'!D27</x:f>
        <x:v>63</x:v>
      </x:c>
      <x:c r="N13" s="4" t="n">
        <x:f>'Data &amp; Targets'!J27</x:f>
        <x:v>15.166666666666666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